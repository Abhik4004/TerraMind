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Data" sheetId="1" state="visible" r:id="rId1"/>
    <sheet xmlns:r="http://schemas.openxmlformats.org/officeDocument/2006/relationships"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CE6F1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 3(c)  Avg Overhead vs. Concurrency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'Charts'!R3</f>
            </strRef>
          </tx>
          <spPr>
            <a:ln xmlns:a="http://schemas.openxmlformats.org/drawingml/2006/main" w="28000">
              <a:solidFill>
                <a:srgbClr val="2E75B6"/>
              </a:solidFill>
              <a:prstDash val="solid"/>
            </a:ln>
          </spPr>
          <marker>
            <symbol val="circle"/>
            <size val="8"/>
            <spPr>
              <a:ln xmlns:a="http://schemas.openxmlformats.org/drawingml/2006/main">
                <a:prstDash val="solid"/>
              </a:ln>
            </spPr>
          </marker>
          <cat>
            <numRef>
              <f>'Charts'!$Q$4:$Q$6</f>
            </numRef>
          </cat>
          <val>
            <numRef>
              <f>'Charts'!$R$4:$R$6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Workers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7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Overhead (s)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 3(b-ii)  Overhead vs. Fault Rate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'Charts'!U3</f>
            </strRef>
          </tx>
          <spPr>
            <a:ln xmlns:a="http://schemas.openxmlformats.org/drawingml/2006/main" w="28000">
              <a:solidFill>
                <a:srgbClr val="ED7D31"/>
              </a:solidFill>
              <a:prstDash val="solid"/>
            </a:ln>
          </spPr>
          <marker>
            <symbol val="diamond"/>
            <size val="8"/>
            <spPr>
              <a:ln xmlns:a="http://schemas.openxmlformats.org/drawingml/2006/main">
                <a:prstDash val="solid"/>
              </a:ln>
            </spPr>
          </marker>
          <cat>
            <numRef>
              <f>'Charts'!$T$4:$T$6</f>
            </numRef>
          </cat>
          <val>
            <numRef>
              <f>'Charts'!$U$4:$U$6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Fault Rate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4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Overhead (s)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 3(a)  Success Rate vs. Concurrency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'Charts'!X3</f>
            </strRef>
          </tx>
          <spPr>
            <a:ln xmlns:a="http://schemas.openxmlformats.org/drawingml/2006/main" w="28000">
              <a:solidFill>
                <a:srgbClr val="70AD47"/>
              </a:solidFill>
              <a:prstDash val="solid"/>
            </a:ln>
          </spPr>
          <marker>
            <symbol val="square"/>
            <size val="8"/>
            <spPr>
              <a:ln xmlns:a="http://schemas.openxmlformats.org/drawingml/2006/main">
                <a:prstDash val="solid"/>
              </a:ln>
            </spPr>
          </marker>
          <cat>
            <numRef>
              <f>'Charts'!$W$4:$W$6</f>
            </numRef>
          </cat>
          <val>
            <numRef>
              <f>'Charts'!$X$4:$X$6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Workers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Success Rate (%)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 3(b)  Success Rate vs. Fault Rate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'Charts'!AA3</f>
            </strRef>
          </tx>
          <spPr>
            <a:ln xmlns:a="http://schemas.openxmlformats.org/drawingml/2006/main" w="28000">
              <a:solidFill>
                <a:srgbClr val="70AD47"/>
              </a:solidFill>
              <a:prstDash val="solid"/>
            </a:ln>
          </spPr>
          <marker>
            <symbol val="square"/>
            <size val="8"/>
            <spPr>
              <a:ln xmlns:a="http://schemas.openxmlformats.org/drawingml/2006/main">
                <a:prstDash val="solid"/>
              </a:ln>
            </spPr>
          </marker>
          <cat>
            <numRef>
              <f>'Charts'!$Z$4:$Z$6</f>
            </numRef>
          </cat>
          <val>
            <numRef>
              <f>'Charts'!$AA$4:$AA$6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Fault Rate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Success Rate (%)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 3(d)  Overhead Breakdown vs. Workload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'Charts'!AD3</f>
            </strRef>
          </tx>
          <spPr>
            <a:ln xmlns:a="http://schemas.openxmlformats.org/drawingml/2006/main" w="24000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'Charts'!$AC$4:$AC$6</f>
            </numRef>
          </cat>
          <val>
            <numRef>
              <f>'Charts'!$AD$4:$AD$6</f>
            </numRef>
          </val>
        </ser>
        <ser>
          <idx val="1"/>
          <order val="1"/>
          <tx>
            <strRef>
              <f>'Charts'!AE3</f>
            </strRef>
          </tx>
          <spPr>
            <a:ln xmlns:a="http://schemas.openxmlformats.org/drawingml/2006/main" w="24000">
              <a:solidFill>
                <a:srgbClr val="2E75B6"/>
              </a:solidFill>
              <a:prstDash val="solid"/>
            </a:ln>
          </spPr>
          <marker>
            <symbol val="diamond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'Charts'!$AC$4:$AC$6</f>
            </numRef>
          </cat>
          <val>
            <numRef>
              <f>'Charts'!$AE$4:$AE$6</f>
            </numRef>
          </val>
        </ser>
        <ser>
          <idx val="2"/>
          <order val="2"/>
          <tx>
            <strRef>
              <f>'Charts'!AF3</f>
            </strRef>
          </tx>
          <spPr>
            <a:ln xmlns:a="http://schemas.openxmlformats.org/drawingml/2006/main" w="24000">
              <a:solidFill>
                <a:srgbClr val="70AD47"/>
              </a:solidFill>
              <a:prstDash val="solid"/>
            </a:ln>
          </spPr>
          <marker>
            <symbol val="squar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'Charts'!$AC$4:$AC$6</f>
            </numRef>
          </cat>
          <val>
            <numRef>
              <f>'Charts'!$AF$4:$AF$6</f>
            </numRef>
          </val>
        </ser>
        <ser>
          <idx val="3"/>
          <order val="3"/>
          <tx>
            <strRef>
              <f>'Charts'!AG3</f>
            </strRef>
          </tx>
          <spPr>
            <a:ln xmlns:a="http://schemas.openxmlformats.org/drawingml/2006/main" w="24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'Charts'!$AC$4:$AC$6</f>
            </numRef>
          </cat>
          <val>
            <numRef>
              <f>'Charts'!$AG$4:$AG$6</f>
            </numRef>
          </val>
        </ser>
        <ser>
          <idx val="4"/>
          <order val="4"/>
          <tx>
            <strRef>
              <f>'Charts'!AH3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'Charts'!$AC$4:$AC$6</f>
            </numRef>
          </cat>
          <val>
            <numRef>
              <f>'Charts'!$AH$4:$AH$6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Concurrent Queries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6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21</row>
      <rowOff>0</rowOff>
    </from>
    <ext cx="648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21</row>
      <rowOff>0</rowOff>
    </from>
    <ext cx="648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40</row>
      <rowOff>0</rowOff>
    </from>
    <ext cx="13680000" cy="50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1" t="inlineStr">
        <is>
          <t>TerraMind Benchmark Results  ·  llama3.1:8b  ·  v3</t>
        </is>
      </c>
    </row>
    <row r="2">
      <c r="A2" s="2" t="inlineStr">
        <is>
          <t>Source: benchmark_results.json</t>
        </is>
      </c>
    </row>
    <row r="4" ht="22" customHeight="1">
      <c r="A4" s="3" t="inlineStr">
        <is>
          <t>Fig 3(a)+(c)  ·  SR &amp; Overhead vs. Concurrency</t>
        </is>
      </c>
    </row>
    <row r="5">
      <c r="A5" s="4" t="inlineStr">
        <is>
          <t>Concurrency (workers)</t>
        </is>
      </c>
      <c r="B5" s="4" t="inlineStr">
        <is>
          <t>Queries Run</t>
        </is>
      </c>
      <c r="C5" s="4" t="inlineStr">
        <is>
          <t>Success Rate (%)</t>
        </is>
      </c>
      <c r="D5" s="4" t="inlineStr">
        <is>
          <t>Avg Overhead (s)</t>
        </is>
      </c>
    </row>
    <row r="6">
      <c r="A6" s="5" t="n">
        <v>1</v>
      </c>
      <c r="B6" s="5" t="n">
        <v>1</v>
      </c>
      <c r="C6" s="6" t="n">
        <v>100</v>
      </c>
      <c r="D6" s="5" t="n">
        <v>33.4</v>
      </c>
    </row>
    <row r="7">
      <c r="A7" s="7" t="n">
        <v>2</v>
      </c>
      <c r="B7" s="7" t="n">
        <v>2</v>
      </c>
      <c r="C7" s="6" t="n">
        <v>100</v>
      </c>
      <c r="D7" s="7" t="n">
        <v>48.1</v>
      </c>
    </row>
    <row r="8">
      <c r="A8" s="5" t="n">
        <v>4</v>
      </c>
      <c r="B8" s="5" t="n">
        <v>4</v>
      </c>
      <c r="C8" s="6" t="n">
        <v>100</v>
      </c>
      <c r="D8" s="5" t="n">
        <v>60.6</v>
      </c>
    </row>
    <row r="10" ht="22" customHeight="1">
      <c r="A10" s="3" t="inlineStr">
        <is>
          <t>Fig 3(b)  ·  SR &amp; Overhead vs. Fault Injection Rate</t>
        </is>
      </c>
    </row>
    <row r="11">
      <c r="A11" s="4" t="inlineStr">
        <is>
          <t>Fault Rate (%)</t>
        </is>
      </c>
      <c r="B11" s="4" t="inlineStr">
        <is>
          <t>Queries Run</t>
        </is>
      </c>
      <c r="C11" s="4" t="inlineStr">
        <is>
          <t>Success Rate (%)</t>
        </is>
      </c>
      <c r="D11" s="4" t="inlineStr">
        <is>
          <t>Avg Overhead (s)</t>
        </is>
      </c>
    </row>
    <row r="12">
      <c r="A12" s="5" t="n">
        <v>0</v>
      </c>
      <c r="B12" s="5" t="n">
        <v>4</v>
      </c>
      <c r="C12" s="6" t="n">
        <v>100</v>
      </c>
      <c r="D12" s="5" t="n">
        <v>0.002</v>
      </c>
    </row>
    <row r="13">
      <c r="A13" s="7" t="n">
        <v>25</v>
      </c>
      <c r="B13" s="7" t="n">
        <v>4</v>
      </c>
      <c r="C13" s="6" t="n">
        <v>100</v>
      </c>
      <c r="D13" s="7" t="n">
        <v>8.300000000000001</v>
      </c>
    </row>
    <row r="14">
      <c r="A14" s="5" t="n">
        <v>50</v>
      </c>
      <c r="B14" s="5" t="n">
        <v>4</v>
      </c>
      <c r="C14" s="6" t="n">
        <v>100</v>
      </c>
      <c r="D14" s="5" t="n">
        <v>34.2</v>
      </c>
    </row>
    <row r="16" ht="22" customHeight="1">
      <c r="A16" s="3" t="inlineStr">
        <is>
          <t>Fig 3(d)  ·  Overhead Breakdown vs. Workload Size</t>
        </is>
      </c>
    </row>
    <row r="17">
      <c r="A17" s="4" t="inlineStr">
        <is>
          <t>Workload (queries)</t>
        </is>
      </c>
      <c r="B17" s="4" t="inlineStr">
        <is>
          <t>Success Rate (%)</t>
        </is>
      </c>
      <c r="C17" s="4" t="inlineStr">
        <is>
          <t>Total Overhead (s)</t>
        </is>
      </c>
      <c r="D17" s="4" t="inlineStr">
        <is>
          <t>LLM Inference (s)</t>
        </is>
      </c>
      <c r="E17" s="4" t="inlineStr">
        <is>
          <t>Cache + I/O (s)</t>
        </is>
      </c>
      <c r="F17" s="4" t="inlineStr">
        <is>
          <t>Wall Time (s)</t>
        </is>
      </c>
    </row>
    <row r="18">
      <c r="A18" s="5" t="n">
        <v>2</v>
      </c>
      <c r="B18" s="6" t="n">
        <v>100</v>
      </c>
      <c r="C18" s="5" t="n">
        <v>64.09999999999999</v>
      </c>
      <c r="D18" s="5" t="n">
        <v>39.7</v>
      </c>
      <c r="E18" s="5" t="n">
        <v>24.4</v>
      </c>
      <c r="F18" s="5" t="n">
        <v>91.5</v>
      </c>
    </row>
    <row r="19">
      <c r="A19" s="7" t="n">
        <v>4</v>
      </c>
      <c r="B19" s="6" t="n">
        <v>100</v>
      </c>
      <c r="C19" s="7" t="n">
        <v>59.9</v>
      </c>
      <c r="D19" s="7" t="n">
        <v>37.1</v>
      </c>
      <c r="E19" s="7" t="n">
        <v>22.8</v>
      </c>
      <c r="F19" s="7" t="n">
        <v>100.9</v>
      </c>
    </row>
    <row r="20">
      <c r="A20" s="5" t="n">
        <v>8</v>
      </c>
      <c r="B20" s="6" t="n">
        <v>100</v>
      </c>
      <c r="C20" s="5" t="n">
        <v>67.5</v>
      </c>
      <c r="D20" s="5" t="n">
        <v>41.9</v>
      </c>
      <c r="E20" s="5" t="n">
        <v>25.7</v>
      </c>
      <c r="F20" s="5" t="n">
        <v>151.1</v>
      </c>
    </row>
    <row r="22" ht="22" customHeight="1">
      <c r="A22" s="3" t="inlineStr">
        <is>
          <t>Cache State at Benchmark End</t>
        </is>
      </c>
    </row>
    <row r="23">
      <c r="A23" s="4" t="inlineStr">
        <is>
          <t>Cache Tier</t>
        </is>
      </c>
      <c r="B23" s="4" t="inlineStr">
        <is>
          <t>Entries</t>
        </is>
      </c>
      <c r="C23" s="4" t="inlineStr">
        <is>
          <t>Contents</t>
        </is>
      </c>
      <c r="D23" s="4" t="inlineStr">
        <is>
          <t>Total Size (MB)</t>
        </is>
      </c>
    </row>
    <row r="24">
      <c r="A24" s="5" t="inlineStr">
        <is>
          <t>Response</t>
        </is>
      </c>
      <c r="B24" s="5" t="n">
        <v>2</v>
      </c>
      <c r="C24" s="8" t="inlineStr">
        <is>
          <t>Saved final answers</t>
        </is>
      </c>
      <c r="D24" s="5" t="inlineStr"/>
    </row>
    <row r="25">
      <c r="A25" s="7" t="inlineStr">
        <is>
          <t>Embedding</t>
        </is>
      </c>
      <c r="B25" s="7" t="n">
        <v>5</v>
      </c>
      <c r="C25" s="9" t="inlineStr">
        <is>
          <t>nomic-embed-text vectors</t>
        </is>
      </c>
      <c r="D25" s="7" t="inlineStr"/>
    </row>
    <row r="26">
      <c r="A26" s="5" t="inlineStr">
        <is>
          <t>Tool</t>
        </is>
      </c>
      <c r="B26" s="5" t="n">
        <v>1</v>
      </c>
      <c r="C26" s="8" t="inlineStr">
        <is>
          <t>OpenWeatherMap API result</t>
        </is>
      </c>
      <c r="D26" s="5" t="inlineStr"/>
    </row>
    <row r="27">
      <c r="A27" s="10" t="inlineStr">
        <is>
          <t>TOTAL</t>
        </is>
      </c>
      <c r="B27" s="10" t="n">
        <v>8</v>
      </c>
      <c r="C27" s="11" t="inlineStr"/>
      <c r="D27" s="12" t="n">
        <v>0.045</v>
      </c>
    </row>
  </sheetData>
  <mergeCells count="6">
    <mergeCell ref="A2:F2"/>
    <mergeCell ref="A16:F16"/>
    <mergeCell ref="A22:D22"/>
    <mergeCell ref="A4:D4"/>
    <mergeCell ref="A1:F1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G6"/>
  <sheetViews>
    <sheetView showGridLines="0" workbookViewId="0">
      <selection activeCell="A1" sqref="A1"/>
    </sheetView>
  </sheetViews>
  <sheetFormatPr baseColWidth="8" defaultRowHeight="15"/>
  <cols>
    <col width="3" customWidth="1" min="1" max="1"/>
  </cols>
  <sheetData>
    <row r="1" ht="30" customHeight="1">
      <c r="B1" s="13" t="inlineStr">
        <is>
          <t>TerraMind  ·  Fig. 3 Performance Charts</t>
        </is>
      </c>
    </row>
    <row r="3">
      <c r="Q3" s="14" t="inlineStr">
        <is>
          <t>Workers</t>
        </is>
      </c>
      <c r="R3" s="14" t="inlineStr">
        <is>
          <t>Overhead (s)</t>
        </is>
      </c>
      <c r="T3" s="14" t="inlineStr">
        <is>
          <t>Fault%</t>
        </is>
      </c>
      <c r="U3" s="14" t="inlineStr">
        <is>
          <t>Overhead (s)</t>
        </is>
      </c>
      <c r="W3" s="14" t="inlineStr">
        <is>
          <t>Workers</t>
        </is>
      </c>
      <c r="X3" s="14" t="inlineStr">
        <is>
          <t>SR (%)</t>
        </is>
      </c>
      <c r="Z3" s="14" t="inlineStr">
        <is>
          <t>Fault%</t>
        </is>
      </c>
      <c r="AA3" s="14" t="inlineStr">
        <is>
          <t>SR (%)</t>
        </is>
      </c>
      <c r="AC3" s="14" t="inlineStr">
        <is>
          <t>Queries</t>
        </is>
      </c>
      <c r="AD3" s="14" t="inlineStr">
        <is>
          <t>Total(s)</t>
        </is>
      </c>
      <c r="AE3" s="14" t="inlineStr">
        <is>
          <t>LLM(s)</t>
        </is>
      </c>
      <c r="AF3" s="14" t="inlineStr">
        <is>
          <t>I/O(s)</t>
        </is>
      </c>
      <c r="AG3" s="14" t="inlineStr">
        <is>
          <t>Wall(s)</t>
        </is>
      </c>
    </row>
    <row r="4">
      <c r="Q4" s="15" t="n">
        <v>1</v>
      </c>
      <c r="R4" s="15" t="n">
        <v>33.4</v>
      </c>
      <c r="T4" s="15" t="n">
        <v>0</v>
      </c>
      <c r="U4" s="15" t="n">
        <v>0.002</v>
      </c>
      <c r="W4" s="15" t="n">
        <v>1</v>
      </c>
      <c r="X4" s="15" t="n">
        <v>100</v>
      </c>
      <c r="Z4" s="15" t="n">
        <v>0</v>
      </c>
      <c r="AA4" s="15" t="n">
        <v>100</v>
      </c>
      <c r="AC4" s="15" t="n">
        <v>2</v>
      </c>
      <c r="AD4" s="15" t="n">
        <v>64.09999999999999</v>
      </c>
      <c r="AE4" s="15" t="n">
        <v>39.7</v>
      </c>
      <c r="AF4" s="15" t="n">
        <v>24.4</v>
      </c>
      <c r="AG4" s="15" t="n">
        <v>91.5</v>
      </c>
    </row>
    <row r="5">
      <c r="Q5" s="15" t="n">
        <v>2</v>
      </c>
      <c r="R5" s="15" t="n">
        <v>48.1</v>
      </c>
      <c r="T5" s="15" t="n">
        <v>25</v>
      </c>
      <c r="U5" s="15" t="n">
        <v>8.300000000000001</v>
      </c>
      <c r="W5" s="15" t="n">
        <v>2</v>
      </c>
      <c r="X5" s="15" t="n">
        <v>100</v>
      </c>
      <c r="Z5" s="15" t="n">
        <v>25</v>
      </c>
      <c r="AA5" s="15" t="n">
        <v>100</v>
      </c>
      <c r="AC5" s="15" t="n">
        <v>4</v>
      </c>
      <c r="AD5" s="15" t="n">
        <v>59.9</v>
      </c>
      <c r="AE5" s="15" t="n">
        <v>37.1</v>
      </c>
      <c r="AF5" s="15" t="n">
        <v>22.8</v>
      </c>
      <c r="AG5" s="15" t="n">
        <v>100.9</v>
      </c>
    </row>
    <row r="6">
      <c r="Q6" s="15" t="n">
        <v>4</v>
      </c>
      <c r="R6" s="15" t="n">
        <v>60.6</v>
      </c>
      <c r="T6" s="15" t="n">
        <v>50</v>
      </c>
      <c r="U6" s="15" t="n">
        <v>34.2</v>
      </c>
      <c r="W6" s="15" t="n">
        <v>4</v>
      </c>
      <c r="X6" s="15" t="n">
        <v>100</v>
      </c>
      <c r="Z6" s="15" t="n">
        <v>50</v>
      </c>
      <c r="AA6" s="15" t="n">
        <v>100</v>
      </c>
      <c r="AC6" s="15" t="n">
        <v>8</v>
      </c>
      <c r="AD6" s="15" t="n">
        <v>67.5</v>
      </c>
      <c r="AE6" s="15" t="n">
        <v>41.9</v>
      </c>
      <c r="AF6" s="15" t="n">
        <v>25.7</v>
      </c>
      <c r="AG6" s="15" t="n">
        <v>151.1</v>
      </c>
    </row>
  </sheetData>
  <mergeCells count="1">
    <mergeCell ref="B1:O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2026-05-31T11:17:59Z</dcterms:created>
  <dcterms:modified xmlns:dcterms="http://purl.org/dc/terms/" xmlns:xsi="http://www.w3.org/2001/XMLSchema-instance" xsi:type="dcterms:W3CDTF">2026-05-31T11:17:59Z</dcterms:modified>
</cp:coreProperties>
</file>